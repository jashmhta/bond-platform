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zi\Desktop\"/>
    </mc:Choice>
  </mc:AlternateContent>
  <xr:revisionPtr revIDLastSave="0" documentId="8_{0101506D-2A9D-4979-94F9-32C080ACF5EC}" xr6:coauthVersionLast="47" xr6:coauthVersionMax="47" xr10:uidLastSave="{00000000-0000-0000-0000-000000000000}"/>
  <bookViews>
    <workbookView xWindow="-108" yWindow="-108" windowWidth="23256" windowHeight="12456" xr2:uid="{08F65B71-22A4-4523-91E8-155445DAD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29" i="1"/>
  <c r="D28" i="1"/>
  <c r="D27" i="1"/>
  <c r="D13" i="1"/>
  <c r="D14" i="1"/>
  <c r="D15" i="1"/>
  <c r="D16" i="1"/>
  <c r="D19" i="1"/>
  <c r="D20" i="1"/>
  <c r="D21" i="1"/>
  <c r="D22" i="1"/>
  <c r="D23" i="1"/>
  <c r="D24" i="1"/>
  <c r="D25" i="1"/>
  <c r="D26" i="1"/>
  <c r="D12" i="1"/>
  <c r="B51" i="1"/>
  <c r="B47" i="1"/>
  <c r="D11" i="1"/>
  <c r="I9" i="1"/>
  <c r="I6" i="1"/>
  <c r="C43" i="1" l="1"/>
  <c r="B48" i="1" s="1"/>
  <c r="E11" i="1"/>
  <c r="H36" i="1" s="1"/>
  <c r="H11" i="1" s="1"/>
  <c r="H13" i="1" s="1"/>
  <c r="D10" i="1" s="1"/>
  <c r="D33" i="1" s="1"/>
  <c r="B49" i="1" l="1"/>
  <c r="B50" i="1"/>
</calcChain>
</file>

<file path=xl/sharedStrings.xml><?xml version="1.0" encoding="utf-8"?>
<sst xmlns="http://schemas.openxmlformats.org/spreadsheetml/2006/main" count="28" uniqueCount="28">
  <si>
    <t>Issue Date</t>
  </si>
  <si>
    <t>Call Date</t>
  </si>
  <si>
    <t>Coupon Frequency</t>
  </si>
  <si>
    <t>Redemption date</t>
  </si>
  <si>
    <t>Allotment Date</t>
  </si>
  <si>
    <t>Int Pmt Date</t>
  </si>
  <si>
    <t>Days since last int payment</t>
  </si>
  <si>
    <t>Coupon</t>
  </si>
  <si>
    <t>FV</t>
  </si>
  <si>
    <t>Deal Date/Value Date</t>
  </si>
  <si>
    <t>INTEREST</t>
  </si>
  <si>
    <t>Fees etc</t>
  </si>
  <si>
    <t>Coupon Payment Dates</t>
  </si>
  <si>
    <t>Yield</t>
  </si>
  <si>
    <t>Redemption Date</t>
  </si>
  <si>
    <t>Price</t>
  </si>
  <si>
    <t>Qty</t>
  </si>
  <si>
    <t>Cost Sheet</t>
  </si>
  <si>
    <t>principal</t>
  </si>
  <si>
    <t>clean price</t>
  </si>
  <si>
    <t>total principal</t>
  </si>
  <si>
    <t>Accured interest</t>
  </si>
  <si>
    <t>total consideration</t>
  </si>
  <si>
    <t>YTC/YTM</t>
  </si>
  <si>
    <t>ISIN</t>
  </si>
  <si>
    <t xml:space="preserve">Monthly </t>
  </si>
  <si>
    <t xml:space="preserve">10.30% Navi Finserv Limited </t>
  </si>
  <si>
    <t>INE342T07718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</si>
</sst>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8" formatCode="_ * #,##0.0000_ ;_ * \-#,##0.0000_ ;_ * &quot;-&quot;??_ ;_ @_ "/>
    <numFmt numFmtId="169" formatCode="_ * #,##0.000000000_ ;_ * \-#,##0.000000000_ ;_ * &quot;-&quot;??_ ;_ @_ "/>
    <numFmt numFmtId="170" formatCode="_ * #,##0.00000_ ;_ * \-#,##0.00000_ ;_ * &quot;-&quot;??_ ;_ @_ "/>
    <numFmt numFmtId="171" formatCode="0.0000%"/>
    <numFmt numFmtId="172" formatCode="0.000000%"/>
    <numFmt numFmtId="173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0" fontId="2" fillId="0" borderId="0" xfId="0" applyFont="1"/>
    <xf numFmtId="0" fontId="0" fillId="2" borderId="0" xfId="0" applyFill="1"/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3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wrapText="1"/>
    </xf>
    <xf numFmtId="43" fontId="0" fillId="0" borderId="1" xfId="1" applyFont="1" applyBorder="1"/>
    <xf numFmtId="0" fontId="5" fillId="0" borderId="0" xfId="0" applyFont="1"/>
    <xf numFmtId="14" fontId="6" fillId="0" borderId="1" xfId="0" applyNumberFormat="1" applyFont="1" applyBorder="1"/>
    <xf numFmtId="10" fontId="2" fillId="0" borderId="1" xfId="2" applyNumberFormat="1" applyFont="1" applyBorder="1"/>
    <xf numFmtId="0" fontId="0" fillId="4" borderId="1" xfId="0" applyFill="1" applyBorder="1"/>
    <xf numFmtId="43" fontId="2" fillId="0" borderId="1" xfId="1" applyFont="1" applyBorder="1"/>
    <xf numFmtId="43" fontId="0" fillId="0" borderId="1" xfId="0" applyNumberFormat="1" applyBorder="1"/>
    <xf numFmtId="168" fontId="0" fillId="3" borderId="1" xfId="0" applyNumberFormat="1" applyFill="1" applyBorder="1"/>
    <xf numFmtId="0" fontId="0" fillId="5" borderId="1" xfId="0" applyFill="1" applyBorder="1"/>
    <xf numFmtId="0" fontId="0" fillId="2" borderId="2" xfId="0" applyFill="1" applyBorder="1" applyAlignment="1">
      <alignment horizontal="center" vertical="center"/>
    </xf>
    <xf numFmtId="14" fontId="2" fillId="0" borderId="1" xfId="0" applyNumberFormat="1" applyFont="1" applyBorder="1"/>
    <xf numFmtId="4" fontId="4" fillId="0" borderId="1" xfId="0" applyNumberFormat="1" applyFont="1" applyBorder="1"/>
    <xf numFmtId="169" fontId="0" fillId="0" borderId="1" xfId="0" applyNumberFormat="1" applyBorder="1"/>
    <xf numFmtId="2" fontId="0" fillId="2" borderId="1" xfId="0" applyNumberFormat="1" applyFill="1" applyBorder="1"/>
    <xf numFmtId="0" fontId="0" fillId="2" borderId="3" xfId="0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4" fillId="0" borderId="1" xfId="0" applyNumberFormat="1" applyFont="1" applyBorder="1"/>
    <xf numFmtId="14" fontId="0" fillId="0" borderId="0" xfId="0" applyNumberFormat="1" applyAlignment="1">
      <alignment horizontal="left"/>
    </xf>
    <xf numFmtId="170" fontId="0" fillId="0" borderId="1" xfId="0" applyNumberFormat="1" applyBorder="1"/>
    <xf numFmtId="14" fontId="0" fillId="0" borderId="1" xfId="0" applyNumberFormat="1" applyBorder="1"/>
    <xf numFmtId="4" fontId="0" fillId="0" borderId="1" xfId="0" applyNumberFormat="1" applyBorder="1"/>
    <xf numFmtId="14" fontId="0" fillId="3" borderId="1" xfId="0" applyNumberFormat="1" applyFill="1" applyBorder="1"/>
    <xf numFmtId="171" fontId="0" fillId="0" borderId="1" xfId="2" applyNumberFormat="1" applyFont="1" applyBorder="1"/>
    <xf numFmtId="172" fontId="0" fillId="0" borderId="1" xfId="2" applyNumberFormat="1" applyFont="1" applyBorder="1"/>
    <xf numFmtId="0" fontId="0" fillId="2" borderId="4" xfId="0" applyFill="1" applyBorder="1" applyAlignment="1">
      <alignment horizontal="center" vertical="center"/>
    </xf>
    <xf numFmtId="0" fontId="0" fillId="3" borderId="1" xfId="0" applyFill="1" applyBorder="1"/>
    <xf numFmtId="173" fontId="0" fillId="2" borderId="1" xfId="0" applyNumberFormat="1" applyFill="1" applyBorder="1"/>
    <xf numFmtId="2" fontId="0" fillId="0" borderId="0" xfId="0" applyNumberFormat="1"/>
    <xf numFmtId="173" fontId="0" fillId="0" borderId="1" xfId="0" applyNumberFormat="1" applyBorder="1"/>
    <xf numFmtId="171" fontId="7" fillId="0" borderId="0" xfId="0" applyNumberFormat="1" applyFont="1" applyAlignment="1">
      <alignment horizontal="right" vertical="center"/>
    </xf>
    <xf numFmtId="168" fontId="0" fillId="0" borderId="0" xfId="0" applyNumberFormat="1"/>
    <xf numFmtId="0" fontId="7" fillId="0" borderId="0" xfId="0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14" fontId="0" fillId="2" borderId="1" xfId="0" applyNumberFormat="1" applyFill="1" applyBorder="1"/>
    <xf numFmtId="43" fontId="0" fillId="2" borderId="1" xfId="1" applyFont="1" applyFill="1" applyBorder="1"/>
    <xf numFmtId="168" fontId="0" fillId="2" borderId="1" xfId="0" applyNumberFormat="1" applyFill="1" applyBorder="1"/>
    <xf numFmtId="171" fontId="0" fillId="0" borderId="0" xfId="2" applyNumberFormat="1" applyFont="1"/>
    <xf numFmtId="43" fontId="0" fillId="6" borderId="1" xfId="0" applyNumberFormat="1" applyFill="1" applyBorder="1"/>
    <xf numFmtId="171" fontId="0" fillId="0" borderId="1" xfId="0" applyNumberFormat="1" applyBorder="1"/>
    <xf numFmtId="43" fontId="0" fillId="0" borderId="0" xfId="1" applyFont="1"/>
    <xf numFmtId="4" fontId="0" fillId="0" borderId="0" xfId="0" applyNumberFormat="1"/>
    <xf numFmtId="0" fontId="0" fillId="0" borderId="0" xfId="0" applyFont="1"/>
    <xf numFmtId="0" fontId="0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274F-C65E-4356-B2A1-B6C5465CA338}">
  <dimension ref="A1:M66"/>
  <sheetViews>
    <sheetView tabSelected="1" workbookViewId="0">
      <selection activeCell="D3" sqref="D3"/>
    </sheetView>
  </sheetViews>
  <sheetFormatPr defaultRowHeight="14.4" x14ac:dyDescent="0.3"/>
  <cols>
    <col min="1" max="1" width="33.109375" customWidth="1"/>
    <col min="2" max="2" width="31.44140625" customWidth="1"/>
    <col min="3" max="3" width="18.88671875" customWidth="1"/>
    <col min="4" max="4" width="18.44140625" bestFit="1" customWidth="1"/>
    <col min="5" max="5" width="21.33203125" bestFit="1" customWidth="1"/>
    <col min="6" max="6" width="29.6640625" customWidth="1"/>
    <col min="7" max="7" width="16.109375" customWidth="1"/>
    <col min="8" max="8" width="16.33203125" bestFit="1" customWidth="1"/>
    <col min="9" max="9" width="13.6640625" customWidth="1"/>
    <col min="12" max="12" width="27.5546875" bestFit="1" customWidth="1"/>
    <col min="13" max="13" width="37.33203125" bestFit="1" customWidth="1"/>
  </cols>
  <sheetData>
    <row r="1" spans="1:13" x14ac:dyDescent="0.3">
      <c r="B1" s="1"/>
      <c r="C1" s="1"/>
      <c r="D1" s="2"/>
      <c r="E1" s="1"/>
      <c r="F1" s="3"/>
    </row>
    <row r="2" spans="1:13" x14ac:dyDescent="0.3">
      <c r="A2" s="54" t="s">
        <v>26</v>
      </c>
      <c r="C2" s="5" t="s">
        <v>0</v>
      </c>
      <c r="D2" s="6">
        <v>46188</v>
      </c>
      <c r="E2" s="5" t="s">
        <v>1</v>
      </c>
      <c r="F2" s="7"/>
    </row>
    <row r="3" spans="1:13" ht="30.75" customHeight="1" x14ac:dyDescent="0.3">
      <c r="A3" s="55" t="s">
        <v>27</v>
      </c>
      <c r="C3" s="5" t="s">
        <v>2</v>
      </c>
      <c r="D3" s="8" t="s">
        <v>25</v>
      </c>
      <c r="E3" s="5" t="s">
        <v>3</v>
      </c>
      <c r="F3" s="7">
        <v>46843</v>
      </c>
    </row>
    <row r="4" spans="1:13" x14ac:dyDescent="0.3">
      <c r="A4" s="4"/>
      <c r="C4" s="5" t="s">
        <v>4</v>
      </c>
      <c r="D4" s="6">
        <v>46188</v>
      </c>
      <c r="E4" s="9"/>
    </row>
    <row r="6" spans="1:13" ht="30" x14ac:dyDescent="0.4">
      <c r="B6" s="10" t="s">
        <v>5</v>
      </c>
      <c r="C6" s="6">
        <v>46249</v>
      </c>
      <c r="D6" s="11"/>
      <c r="E6" s="11"/>
      <c r="F6" s="11"/>
      <c r="G6" s="11"/>
      <c r="H6" s="12" t="s">
        <v>6</v>
      </c>
      <c r="I6" s="13">
        <f>+C10-C6</f>
        <v>5</v>
      </c>
      <c r="L6" s="14"/>
    </row>
    <row r="7" spans="1:13" x14ac:dyDescent="0.3">
      <c r="B7" s="11"/>
      <c r="C7" s="15"/>
      <c r="D7" s="11"/>
      <c r="E7" s="11"/>
      <c r="F7" s="11"/>
      <c r="G7" s="11"/>
      <c r="H7" s="11"/>
      <c r="I7" s="11"/>
    </row>
    <row r="8" spans="1:13" x14ac:dyDescent="0.3">
      <c r="B8" s="11"/>
      <c r="C8" s="11"/>
      <c r="D8" s="10" t="s">
        <v>7</v>
      </c>
      <c r="E8" s="16">
        <v>0.10299999999999999</v>
      </c>
      <c r="F8" s="11"/>
      <c r="G8" s="10" t="s">
        <v>8</v>
      </c>
      <c r="H8" s="17"/>
      <c r="I8" s="11"/>
    </row>
    <row r="9" spans="1:13" x14ac:dyDescent="0.3">
      <c r="B9" s="11"/>
      <c r="C9" s="11"/>
      <c r="D9" s="11"/>
      <c r="E9" s="11"/>
      <c r="F9" s="11"/>
      <c r="G9" s="18">
        <v>10000</v>
      </c>
      <c r="H9" s="19"/>
      <c r="I9" s="20">
        <f>B46</f>
        <v>100.12560000000001</v>
      </c>
    </row>
    <row r="10" spans="1:13" x14ac:dyDescent="0.3">
      <c r="B10" s="10" t="s">
        <v>9</v>
      </c>
      <c r="C10" s="6">
        <v>46254</v>
      </c>
      <c r="D10" s="13">
        <f>+-H13</f>
        <v>-10026.669589041096</v>
      </c>
      <c r="E10" s="21" t="s">
        <v>10</v>
      </c>
      <c r="F10" s="10" t="s">
        <v>11</v>
      </c>
      <c r="G10" s="19"/>
      <c r="H10" s="11"/>
      <c r="I10" s="11"/>
    </row>
    <row r="11" spans="1:13" x14ac:dyDescent="0.3">
      <c r="B11" s="22" t="s">
        <v>12</v>
      </c>
      <c r="C11" s="23">
        <v>46280</v>
      </c>
      <c r="D11" s="24">
        <f>(((C11-C6)/365)*$E$8*$G$9)</f>
        <v>87.479452054794507</v>
      </c>
      <c r="E11" s="25">
        <f>E8*I6/365*G9*100/G9</f>
        <v>0.14109589041095891</v>
      </c>
      <c r="F11" s="26"/>
      <c r="G11" s="19"/>
      <c r="H11" s="13">
        <f>+G9*H36/100</f>
        <v>10026.669589041096</v>
      </c>
      <c r="I11" s="11"/>
    </row>
    <row r="12" spans="1:13" x14ac:dyDescent="0.3">
      <c r="B12" s="27"/>
      <c r="C12" s="23">
        <v>46310</v>
      </c>
      <c r="D12" s="24">
        <f>(((C12-C11)/365)*$E$8*$G$9)</f>
        <v>84.657534246575324</v>
      </c>
      <c r="E12" s="11"/>
      <c r="F12" s="11"/>
      <c r="G12" s="19"/>
      <c r="H12" s="11"/>
      <c r="I12" s="11"/>
    </row>
    <row r="13" spans="1:13" x14ac:dyDescent="0.3">
      <c r="B13" s="27"/>
      <c r="C13" s="23">
        <v>46341</v>
      </c>
      <c r="D13" s="24">
        <f t="shared" ref="D13:D30" si="0">(((C13-C12)/365)*$E$8*$G$9)</f>
        <v>87.479452054794507</v>
      </c>
      <c r="E13" s="11"/>
      <c r="F13" s="11"/>
      <c r="G13" s="19"/>
      <c r="H13" s="19">
        <f>+H11+F11</f>
        <v>10026.669589041096</v>
      </c>
      <c r="I13" s="11"/>
      <c r="L13" s="28"/>
      <c r="M13" s="28"/>
    </row>
    <row r="14" spans="1:13" x14ac:dyDescent="0.3">
      <c r="B14" s="27"/>
      <c r="C14" s="23">
        <v>46371</v>
      </c>
      <c r="D14" s="24">
        <f t="shared" si="0"/>
        <v>84.657534246575324</v>
      </c>
      <c r="E14" s="11"/>
      <c r="F14" s="11"/>
      <c r="G14" s="19"/>
      <c r="H14" s="19"/>
      <c r="I14" s="11"/>
      <c r="L14" s="28"/>
      <c r="M14" s="28"/>
    </row>
    <row r="15" spans="1:13" x14ac:dyDescent="0.3">
      <c r="B15" s="27"/>
      <c r="C15" s="23">
        <v>46402</v>
      </c>
      <c r="D15" s="24">
        <f t="shared" si="0"/>
        <v>87.479452054794507</v>
      </c>
      <c r="E15" s="11"/>
      <c r="F15" s="11"/>
      <c r="G15" s="19"/>
      <c r="H15" s="19"/>
      <c r="I15" s="11"/>
      <c r="L15" s="28"/>
      <c r="M15" s="28"/>
    </row>
    <row r="16" spans="1:13" x14ac:dyDescent="0.3">
      <c r="B16" s="27"/>
      <c r="C16" s="23">
        <v>46433</v>
      </c>
      <c r="D16" s="24">
        <f t="shared" si="0"/>
        <v>87.479452054794507</v>
      </c>
      <c r="E16" s="11"/>
      <c r="F16" s="11"/>
      <c r="G16" s="19"/>
      <c r="H16" s="19"/>
      <c r="I16" s="11"/>
      <c r="L16" s="28"/>
      <c r="M16" s="28"/>
    </row>
    <row r="17" spans="1:13" x14ac:dyDescent="0.3">
      <c r="B17" s="27"/>
      <c r="C17" s="23">
        <v>46461</v>
      </c>
      <c r="D17" s="24">
        <f>(((C17-C16)/365)*$E$8*$G$9)</f>
        <v>79.013698630136986</v>
      </c>
      <c r="E17" s="11"/>
      <c r="F17" s="11"/>
      <c r="G17" s="19"/>
      <c r="H17" s="19"/>
      <c r="I17" s="11"/>
      <c r="L17" s="28"/>
      <c r="M17" s="28"/>
    </row>
    <row r="18" spans="1:13" x14ac:dyDescent="0.3">
      <c r="B18" s="27"/>
      <c r="C18" s="23">
        <v>46492</v>
      </c>
      <c r="D18" s="24">
        <f>(((C18-C17)/365)*$E$8*$G$9)</f>
        <v>87.479452054794507</v>
      </c>
      <c r="E18" s="11"/>
      <c r="F18" s="11"/>
      <c r="G18" s="19"/>
      <c r="H18" s="19"/>
      <c r="I18" s="11"/>
      <c r="L18" s="28"/>
      <c r="M18" s="28"/>
    </row>
    <row r="19" spans="1:13" x14ac:dyDescent="0.3">
      <c r="B19" s="27"/>
      <c r="C19" s="23">
        <v>46522</v>
      </c>
      <c r="D19" s="24">
        <f t="shared" si="0"/>
        <v>84.657534246575324</v>
      </c>
      <c r="E19" s="11"/>
      <c r="F19" s="11"/>
      <c r="G19" s="19"/>
      <c r="H19" s="19"/>
      <c r="I19" s="11"/>
      <c r="L19" s="28"/>
      <c r="M19" s="28"/>
    </row>
    <row r="20" spans="1:13" x14ac:dyDescent="0.3">
      <c r="B20" s="27"/>
      <c r="C20" s="23">
        <v>46553</v>
      </c>
      <c r="D20" s="24">
        <f t="shared" si="0"/>
        <v>87.479452054794507</v>
      </c>
      <c r="E20" s="11"/>
      <c r="F20" s="11"/>
      <c r="G20" s="19"/>
      <c r="H20" s="19"/>
      <c r="I20" s="11"/>
      <c r="L20" s="28"/>
      <c r="M20" s="28"/>
    </row>
    <row r="21" spans="1:13" x14ac:dyDescent="0.3">
      <c r="B21" s="27"/>
      <c r="C21" s="23">
        <v>46583</v>
      </c>
      <c r="D21" s="24">
        <f t="shared" si="0"/>
        <v>84.657534246575324</v>
      </c>
      <c r="E21" s="11"/>
      <c r="F21" s="11"/>
      <c r="G21" s="19"/>
      <c r="H21" s="19"/>
      <c r="I21" s="11"/>
      <c r="L21" s="28"/>
      <c r="M21" s="28"/>
    </row>
    <row r="22" spans="1:13" x14ac:dyDescent="0.3">
      <c r="B22" s="27"/>
      <c r="C22" s="23">
        <v>46614</v>
      </c>
      <c r="D22" s="24">
        <f t="shared" si="0"/>
        <v>87.479452054794507</v>
      </c>
      <c r="E22" s="11"/>
      <c r="F22" s="11"/>
      <c r="G22" s="19"/>
      <c r="H22" s="19"/>
      <c r="I22" s="11"/>
      <c r="L22" s="28"/>
      <c r="M22" s="28"/>
    </row>
    <row r="23" spans="1:13" x14ac:dyDescent="0.3">
      <c r="B23" s="27"/>
      <c r="C23" s="23">
        <v>46645</v>
      </c>
      <c r="D23" s="24">
        <f t="shared" si="0"/>
        <v>87.479452054794507</v>
      </c>
      <c r="E23" s="11"/>
      <c r="F23" s="11"/>
      <c r="G23" s="19"/>
      <c r="H23" s="19"/>
      <c r="I23" s="11"/>
      <c r="L23" s="28"/>
      <c r="M23" s="28"/>
    </row>
    <row r="24" spans="1:13" x14ac:dyDescent="0.3">
      <c r="B24" s="27"/>
      <c r="C24" s="23">
        <v>46675</v>
      </c>
      <c r="D24" s="24">
        <f t="shared" si="0"/>
        <v>84.657534246575324</v>
      </c>
      <c r="E24" s="11"/>
      <c r="F24" s="11"/>
      <c r="G24" s="19"/>
      <c r="H24" s="19"/>
      <c r="I24" s="11"/>
      <c r="L24" s="28"/>
      <c r="M24" s="28"/>
    </row>
    <row r="25" spans="1:13" x14ac:dyDescent="0.3">
      <c r="B25" s="27"/>
      <c r="C25" s="23">
        <v>46706</v>
      </c>
      <c r="D25" s="24">
        <f t="shared" si="0"/>
        <v>87.479452054794507</v>
      </c>
      <c r="E25" s="11"/>
      <c r="F25" s="11"/>
      <c r="G25" s="19"/>
      <c r="H25" s="19"/>
      <c r="I25" s="11"/>
      <c r="L25" s="28"/>
      <c r="M25" s="28"/>
    </row>
    <row r="26" spans="1:13" x14ac:dyDescent="0.3">
      <c r="B26" s="27"/>
      <c r="C26" s="23">
        <v>46736</v>
      </c>
      <c r="D26" s="24">
        <f t="shared" si="0"/>
        <v>84.657534246575324</v>
      </c>
      <c r="E26" s="11"/>
      <c r="F26" s="11"/>
      <c r="G26" s="19"/>
      <c r="H26" s="19"/>
      <c r="I26" s="11"/>
      <c r="L26" s="28"/>
      <c r="M26" s="28"/>
    </row>
    <row r="27" spans="1:13" x14ac:dyDescent="0.3">
      <c r="B27" s="27"/>
      <c r="C27" s="23">
        <v>46767</v>
      </c>
      <c r="D27" s="24">
        <f>(((C27-C26)/366)*$E$8*$G$9)</f>
        <v>87.240437158469931</v>
      </c>
      <c r="E27" s="11"/>
      <c r="F27" s="11"/>
      <c r="G27" s="19"/>
      <c r="H27" s="19"/>
      <c r="I27" s="11"/>
      <c r="L27" s="28"/>
      <c r="M27" s="28"/>
    </row>
    <row r="28" spans="1:13" x14ac:dyDescent="0.3">
      <c r="B28" s="27"/>
      <c r="C28" s="23">
        <v>46798</v>
      </c>
      <c r="D28" s="24">
        <f>(((C28-C27)/366)*$E$8*$G$9)</f>
        <v>87.240437158469931</v>
      </c>
      <c r="E28" s="11"/>
      <c r="F28" s="11"/>
      <c r="G28" s="19"/>
      <c r="H28" s="11"/>
      <c r="I28" s="11"/>
      <c r="L28" s="28"/>
      <c r="M28" s="28"/>
    </row>
    <row r="29" spans="1:13" x14ac:dyDescent="0.3">
      <c r="A29" s="30"/>
      <c r="B29" s="27"/>
      <c r="C29" s="23">
        <v>46843</v>
      </c>
      <c r="D29" s="24">
        <f>(((C29-C28)/366)*$E$8*$G$9)</f>
        <v>126.63934426229507</v>
      </c>
      <c r="E29" s="11"/>
      <c r="F29" s="11"/>
      <c r="G29" s="19"/>
      <c r="H29" s="11"/>
      <c r="I29" s="11"/>
      <c r="L29" s="28"/>
      <c r="M29" s="28"/>
    </row>
    <row r="30" spans="1:13" x14ac:dyDescent="0.3">
      <c r="B30" s="27"/>
      <c r="C30" s="23">
        <v>46843</v>
      </c>
      <c r="D30" s="24">
        <v>10000</v>
      </c>
      <c r="E30" s="11"/>
      <c r="F30" s="11"/>
      <c r="G30" s="19"/>
      <c r="H30" s="11"/>
      <c r="I30" s="11"/>
      <c r="L30" s="28"/>
      <c r="M30" s="28"/>
    </row>
    <row r="31" spans="1:13" x14ac:dyDescent="0.3">
      <c r="B31" s="27"/>
      <c r="C31" s="29"/>
      <c r="D31" s="24"/>
      <c r="E31" s="31"/>
      <c r="F31" s="11"/>
      <c r="G31" s="19"/>
      <c r="H31" s="11"/>
      <c r="I31" s="11"/>
      <c r="L31" s="28"/>
      <c r="M31" s="28"/>
    </row>
    <row r="32" spans="1:13" x14ac:dyDescent="0.3">
      <c r="B32" s="27"/>
      <c r="C32" s="32"/>
      <c r="D32" s="33"/>
      <c r="E32" s="31"/>
      <c r="F32" s="11"/>
      <c r="G32" s="19"/>
      <c r="H32" s="11"/>
      <c r="I32" s="11"/>
      <c r="L32" s="28"/>
      <c r="M32" s="28"/>
    </row>
    <row r="33" spans="1:13" x14ac:dyDescent="0.3">
      <c r="B33" s="27"/>
      <c r="C33" s="34" t="s">
        <v>13</v>
      </c>
      <c r="D33" s="35">
        <f>XIRR(D10:D31,C10:C31)</f>
        <v>0.10699983239173891</v>
      </c>
      <c r="E33" s="31"/>
      <c r="F33" s="11"/>
      <c r="G33" s="19"/>
      <c r="H33" s="11"/>
      <c r="I33" s="11"/>
      <c r="L33" s="28"/>
      <c r="M33" s="28"/>
    </row>
    <row r="34" spans="1:13" x14ac:dyDescent="0.3">
      <c r="B34" s="27"/>
      <c r="C34" s="32"/>
      <c r="D34" s="36"/>
      <c r="E34" s="11"/>
      <c r="F34" s="11"/>
      <c r="G34" s="19"/>
      <c r="H34" s="11"/>
      <c r="I34" s="11"/>
      <c r="L34" s="28"/>
      <c r="M34" s="28"/>
    </row>
    <row r="35" spans="1:13" x14ac:dyDescent="0.3">
      <c r="B35" s="37"/>
      <c r="C35" s="32"/>
      <c r="D35" s="35"/>
      <c r="E35" s="11"/>
      <c r="F35" s="11"/>
      <c r="G35" s="11"/>
      <c r="H35" s="11"/>
      <c r="I35" s="11"/>
      <c r="L35" s="28"/>
      <c r="M35" s="28"/>
    </row>
    <row r="36" spans="1:13" x14ac:dyDescent="0.3">
      <c r="B36" s="10" t="s">
        <v>14</v>
      </c>
      <c r="C36" s="32"/>
      <c r="D36" s="33"/>
      <c r="E36" s="11"/>
      <c r="F36" s="11"/>
      <c r="G36" s="38" t="s">
        <v>15</v>
      </c>
      <c r="H36" s="39">
        <f>+B46+E11</f>
        <v>100.26669589041096</v>
      </c>
      <c r="I36" s="11"/>
      <c r="L36" s="28"/>
      <c r="M36" s="28"/>
    </row>
    <row r="37" spans="1:13" x14ac:dyDescent="0.3">
      <c r="B37" s="11"/>
      <c r="C37" s="40"/>
      <c r="D37" s="40"/>
      <c r="E37" s="11"/>
      <c r="F37" s="11"/>
      <c r="G37" s="11"/>
      <c r="H37" s="11"/>
      <c r="I37" s="11"/>
      <c r="L37" s="28"/>
      <c r="M37" s="28"/>
    </row>
    <row r="38" spans="1:13" x14ac:dyDescent="0.3">
      <c r="B38" s="11"/>
      <c r="E38" s="11"/>
      <c r="F38" s="11"/>
      <c r="G38" s="11"/>
      <c r="H38" s="11"/>
      <c r="I38" s="11"/>
      <c r="L38" s="28"/>
      <c r="M38" s="28"/>
    </row>
    <row r="39" spans="1:13" x14ac:dyDescent="0.3">
      <c r="B39" s="11"/>
      <c r="C39" s="11"/>
      <c r="D39" s="5" t="s">
        <v>16</v>
      </c>
      <c r="E39" s="11"/>
      <c r="F39" s="11"/>
      <c r="G39" s="11"/>
      <c r="H39" s="11"/>
      <c r="I39" s="11"/>
      <c r="L39" s="28"/>
      <c r="M39" s="28"/>
    </row>
    <row r="40" spans="1:13" x14ac:dyDescent="0.3">
      <c r="B40" s="11"/>
      <c r="C40" s="11"/>
      <c r="D40">
        <v>1</v>
      </c>
      <c r="E40" s="11"/>
      <c r="F40" s="11"/>
      <c r="G40" s="11"/>
      <c r="H40" s="11"/>
      <c r="I40" s="41"/>
      <c r="L40" s="28"/>
      <c r="M40" s="42"/>
    </row>
    <row r="41" spans="1:13" x14ac:dyDescent="0.3">
      <c r="B41" s="11"/>
      <c r="C41" s="11"/>
      <c r="D41" s="43"/>
      <c r="E41" s="11"/>
      <c r="F41" s="11"/>
      <c r="G41" s="11"/>
      <c r="H41" s="11"/>
      <c r="I41" s="11"/>
      <c r="L41" s="28"/>
      <c r="M41" s="44"/>
    </row>
    <row r="42" spans="1:13" x14ac:dyDescent="0.3">
      <c r="C42" s="11"/>
      <c r="D42" s="9"/>
      <c r="E42" s="40"/>
      <c r="L42" s="28"/>
      <c r="M42" s="45"/>
    </row>
    <row r="43" spans="1:13" x14ac:dyDescent="0.3">
      <c r="C43" s="25">
        <f>E8*I6/365*100</f>
        <v>0.14109589041095891</v>
      </c>
      <c r="G43" s="40"/>
      <c r="L43" s="28"/>
      <c r="M43" s="45"/>
    </row>
    <row r="44" spans="1:13" x14ac:dyDescent="0.3">
      <c r="A44" s="46" t="s">
        <v>17</v>
      </c>
      <c r="B44" s="11"/>
      <c r="C44" s="11"/>
      <c r="L44" s="28"/>
      <c r="M44" s="45"/>
    </row>
    <row r="45" spans="1:13" x14ac:dyDescent="0.3">
      <c r="A45" s="11" t="s">
        <v>18</v>
      </c>
      <c r="B45" s="47">
        <v>10000</v>
      </c>
      <c r="C45" s="11"/>
      <c r="L45" s="28"/>
      <c r="M45" s="45"/>
    </row>
    <row r="46" spans="1:13" x14ac:dyDescent="0.3">
      <c r="A46" s="11" t="s">
        <v>19</v>
      </c>
      <c r="B46" s="48">
        <v>100.12560000000001</v>
      </c>
      <c r="C46" s="11"/>
      <c r="G46" s="49"/>
    </row>
    <row r="47" spans="1:13" x14ac:dyDescent="0.3">
      <c r="A47" s="11" t="s">
        <v>20</v>
      </c>
      <c r="B47" s="13">
        <f>B45*B46/100</f>
        <v>10012.56</v>
      </c>
      <c r="F47" s="9"/>
      <c r="G47" s="49"/>
    </row>
    <row r="48" spans="1:13" x14ac:dyDescent="0.3">
      <c r="A48" s="11" t="s">
        <v>21</v>
      </c>
      <c r="B48" s="19">
        <f>C43*B45/100</f>
        <v>14.109589041095893</v>
      </c>
      <c r="I48" s="43"/>
    </row>
    <row r="49" spans="1:6" x14ac:dyDescent="0.3">
      <c r="A49" s="11" t="s">
        <v>22</v>
      </c>
      <c r="B49" s="50">
        <f>B47+B48</f>
        <v>10026.669589041096</v>
      </c>
      <c r="F49" s="9"/>
    </row>
    <row r="50" spans="1:6" x14ac:dyDescent="0.3">
      <c r="A50" s="11" t="s">
        <v>23</v>
      </c>
      <c r="B50" s="51">
        <f>D33</f>
        <v>0.10699983239173891</v>
      </c>
    </row>
    <row r="51" spans="1:6" x14ac:dyDescent="0.3">
      <c r="A51" s="11" t="s">
        <v>24</v>
      </c>
      <c r="B51" s="19">
        <f>A4</f>
        <v>0</v>
      </c>
    </row>
    <row r="57" spans="1:6" x14ac:dyDescent="0.3">
      <c r="F57" s="52"/>
    </row>
    <row r="66" spans="4:4" x14ac:dyDescent="0.3">
      <c r="D66" s="53"/>
    </row>
  </sheetData>
  <mergeCells count="1">
    <mergeCell ref="B11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Manzil Mehta</dc:creator>
  <cp:lastModifiedBy>Manzil Mehta</cp:lastModifiedBy>
  <dcterms:created xsi:type="dcterms:W3CDTF">2026-08-19T10:14:41Z</dcterms:created>
  <dcterms:modified xsi:type="dcterms:W3CDTF">2026-08-19T10:39:09Z</dcterms:modified>
</cp:coreProperties>
</file>